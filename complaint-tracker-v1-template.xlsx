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" sheetId="1" r:id="rId5"/>
    <sheet state="visible" name="Tracking" sheetId="2" r:id="rId6"/>
  </sheets>
  <definedNames>
    <definedName hidden="1" localSheetId="1" name="_xlnm._FilterDatabase">Tracking!$A$5:$AH$50</definedName>
  </definedNames>
  <calcPr/>
</workbook>
</file>

<file path=xl/sharedStrings.xml><?xml version="1.0" encoding="utf-8"?>
<sst xmlns="http://schemas.openxmlformats.org/spreadsheetml/2006/main" count="309" uniqueCount="73">
  <si>
    <t>Postup reklamace</t>
  </si>
  <si>
    <t>Pořadováno zákazníkem</t>
  </si>
  <si>
    <t>Interní proces</t>
  </si>
  <si>
    <t>Zodpovědné oddělení</t>
  </si>
  <si>
    <t>Komentář</t>
  </si>
  <si>
    <t>Oddělení short</t>
  </si>
  <si>
    <t>Oddělení Long</t>
  </si>
  <si>
    <t>Číslo reklamace interní</t>
  </si>
  <si>
    <t>NE</t>
  </si>
  <si>
    <t>ANO</t>
  </si>
  <si>
    <t>REKLAMACE</t>
  </si>
  <si>
    <t>CS</t>
  </si>
  <si>
    <t>LOG</t>
  </si>
  <si>
    <t>LOGISTICS</t>
  </si>
  <si>
    <t>Zákazník</t>
  </si>
  <si>
    <t>QA</t>
  </si>
  <si>
    <t>QUALITY</t>
  </si>
  <si>
    <t>Číslo reklamace zákazníka</t>
  </si>
  <si>
    <t>PROD</t>
  </si>
  <si>
    <t>PRODUCTION</t>
  </si>
  <si>
    <t>Číslo zákazníka - určuje adresu doručení opravy</t>
  </si>
  <si>
    <t>ENG</t>
  </si>
  <si>
    <t>ENGINEERING</t>
  </si>
  <si>
    <t>Projekt</t>
  </si>
  <si>
    <t>PM</t>
  </si>
  <si>
    <t>PROJECT MANAGEMENT</t>
  </si>
  <si>
    <t>Číslo reklamace</t>
  </si>
  <si>
    <t>CUSTOMER SERVICE</t>
  </si>
  <si>
    <t>Datum vytvoření reklamace</t>
  </si>
  <si>
    <t>PN zákazníka - očekávané</t>
  </si>
  <si>
    <t>SN zákazníka - očekávané</t>
  </si>
  <si>
    <t>PN interní</t>
  </si>
  <si>
    <t>Datum odeslání zákazníkem</t>
  </si>
  <si>
    <t>Důvod reklamace</t>
  </si>
  <si>
    <t xml:space="preserve">Potvrzení data dokončení opravy </t>
  </si>
  <si>
    <t>ODDĚLENÍ</t>
  </si>
  <si>
    <t>do 7mi týdnů od přijetí - odpočet dokud není potvrzeno</t>
  </si>
  <si>
    <t>Datum přijetí</t>
  </si>
  <si>
    <t>CS1</t>
  </si>
  <si>
    <t>Pokud nedorazí do několika dnů od expedice zákazníkem - nutno zjistit stav, datum přijetí určuje LT pro cenovou nabídku opravy</t>
  </si>
  <si>
    <t>Přijaté PN</t>
  </si>
  <si>
    <t>Přijaté interní PN</t>
  </si>
  <si>
    <t>Přijaté SN</t>
  </si>
  <si>
    <t>Vyrobeno v závodě</t>
  </si>
  <si>
    <t>Pokud ne, PM rozhodne zda oprava proběhne, obecně se zamítá a vrací</t>
  </si>
  <si>
    <t>Vstupní kontrola</t>
  </si>
  <si>
    <t>Popis poškození</t>
  </si>
  <si>
    <t>Postup opravy</t>
  </si>
  <si>
    <t>Cenová nabídka opravy</t>
  </si>
  <si>
    <t>Datum cenové opravy</t>
  </si>
  <si>
    <t>do 5ti týdnů od přijetí</t>
  </si>
  <si>
    <t>Schválení cenové nabídky opravy</t>
  </si>
  <si>
    <t>Schvaluje zíkazník</t>
  </si>
  <si>
    <t>Datum schválení cenové nabídky opravy</t>
  </si>
  <si>
    <t>Plánované datum opravy</t>
  </si>
  <si>
    <t>Nesmí přesáhnout 75% LT nového dílu</t>
  </si>
  <si>
    <t>SN - shoduje se s výrobní zakázkou</t>
  </si>
  <si>
    <t>V případě změny revize v průběhu opravy, nutné nové PN</t>
  </si>
  <si>
    <t>Datum dokončení opravy</t>
  </si>
  <si>
    <t>Zadává se do portálu ASN</t>
  </si>
  <si>
    <t>Datum uzavření opravy na portále zákazníka</t>
  </si>
  <si>
    <t>Musí být uzavřeno před vytvořením ASN - jinak nelze vytvořit, Datum značí splněno</t>
  </si>
  <si>
    <t>Vytištění, vyplnění a přiložení protokolu opravy z portálu zákazníka</t>
  </si>
  <si>
    <t>AKCE u</t>
  </si>
  <si>
    <t>Musí být součástí dokumentů k zásilce, obsahuje i nové SN</t>
  </si>
  <si>
    <t>Plánované datum expedice</t>
  </si>
  <si>
    <t>Tvorba ASN</t>
  </si>
  <si>
    <t>Kontrola protokolu, ASN, čísla dílu, SN</t>
  </si>
  <si>
    <t>Finální kontrola před expedicí</t>
  </si>
  <si>
    <t>Datum expedice</t>
  </si>
  <si>
    <t>Schválení cenové nabíkdy opravy</t>
  </si>
  <si>
    <t>Datum schválení cenové nabíkdy opravy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</si>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</sst>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D5A6BD"/>
        <bgColor rgb="FFD5A6BD"/>
      </patternFill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0" fontId="2" numFmtId="0" xfId="0" applyBorder="1" applyFont="1"/>
    <xf borderId="1" fillId="2" fontId="2" numFmtId="0" xfId="0" applyAlignment="1" applyBorder="1" applyFill="1" applyFont="1">
      <alignment readingOrder="0"/>
    </xf>
    <xf borderId="1" fillId="3" fontId="2" numFmtId="0" xfId="0" applyAlignment="1" applyBorder="1" applyFill="1" applyFont="1">
      <alignment readingOrder="0"/>
    </xf>
    <xf borderId="1" fillId="4" fontId="2" numFmtId="0" xfId="0" applyAlignment="1" applyBorder="1" applyFill="1" applyFont="1">
      <alignment readingOrder="0"/>
    </xf>
    <xf borderId="1" fillId="5" fontId="2" numFmtId="0" xfId="0" applyAlignment="1" applyBorder="1" applyFill="1" applyFont="1">
      <alignment readingOrder="0"/>
    </xf>
    <xf borderId="1" fillId="6" fontId="2" numFmtId="0" xfId="0" applyAlignment="1" applyBorder="1" applyFill="1" applyFont="1">
      <alignment readingOrder="0"/>
    </xf>
    <xf borderId="1" fillId="7" fontId="2" numFmtId="0" xfId="0" applyAlignment="1" applyBorder="1" applyFill="1" applyFont="1">
      <alignment readingOrder="0"/>
    </xf>
    <xf borderId="1" fillId="0" fontId="2" numFmtId="0" xfId="0" applyAlignment="1" applyBorder="1" applyFont="1">
      <alignment horizontal="left" readingOrder="0"/>
    </xf>
  </cellXfs>
  <cellStyles count="1">
    <cellStyle xfId="0" name="Normal" builtinId="0"/>
  </cellStyles>
  <dxfs count="5"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46BDC6"/>
          <bgColor rgb="FF46BDC6"/>
        </patternFill>
      </fill>
      <border/>
    </dxf>
    <dxf>
      <font/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theme="5"/>
          <bgColor theme="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88"/>
    <col customWidth="1" min="3" max="3" width="17.38"/>
    <col customWidth="1" min="5" max="5" width="15.5"/>
    <col customWidth="1" min="6" max="6" width="48.5"/>
    <col customWidth="1" min="9" max="9" width="16.88"/>
    <col customWidth="1" min="10" max="10" width="20.5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I1" s="1" t="s">
        <v>5</v>
      </c>
      <c r="J1" s="1" t="s">
        <v>6</v>
      </c>
    </row>
    <row r="2">
      <c r="B2" s="3" t="s">
        <v>7</v>
      </c>
      <c r="C2" s="3" t="s">
        <v>8</v>
      </c>
      <c r="D2" s="3" t="s">
        <v>9</v>
      </c>
      <c r="E2" s="3" t="s">
        <v>11</v>
      </c>
      <c r="F2" s="5"/>
      <c r="I2" s="3" t="s">
        <v>12</v>
      </c>
      <c r="J2" s="3" t="s">
        <v>13</v>
      </c>
    </row>
    <row r="3">
      <c r="B3" s="3" t="s">
        <v>14</v>
      </c>
      <c r="C3" s="3" t="s">
        <v>8</v>
      </c>
      <c r="D3" s="3" t="s">
        <v>9</v>
      </c>
      <c r="E3" s="3" t="s">
        <v>11</v>
      </c>
      <c r="F3" s="5"/>
      <c r="I3" s="3" t="s">
        <v>15</v>
      </c>
      <c r="J3" s="3" t="s">
        <v>16</v>
      </c>
    </row>
    <row r="4">
      <c r="B4" s="3" t="s">
        <v>17</v>
      </c>
      <c r="C4" s="3" t="s">
        <v>9</v>
      </c>
      <c r="D4" s="3" t="s">
        <v>9</v>
      </c>
      <c r="E4" s="3" t="s">
        <v>11</v>
      </c>
      <c r="F4" s="5"/>
      <c r="I4" s="3" t="s">
        <v>18</v>
      </c>
      <c r="J4" s="3" t="s">
        <v>19</v>
      </c>
    </row>
    <row r="5">
      <c r="B5" s="3" t="s">
        <v>20</v>
      </c>
      <c r="C5" s="3" t="s">
        <v>9</v>
      </c>
      <c r="D5" s="3" t="s">
        <v>9</v>
      </c>
      <c r="E5" s="3" t="s">
        <v>11</v>
      </c>
      <c r="F5" s="3"/>
      <c r="I5" s="3" t="s">
        <v>21</v>
      </c>
      <c r="J5" s="3" t="s">
        <v>22</v>
      </c>
    </row>
    <row r="6">
      <c r="B6" s="3" t="s">
        <v>23</v>
      </c>
      <c r="C6" s="3" t="s">
        <v>8</v>
      </c>
      <c r="D6" s="3" t="s">
        <v>9</v>
      </c>
      <c r="E6" s="3" t="s">
        <v>18</v>
      </c>
      <c r="F6" s="5"/>
      <c r="I6" s="3" t="s">
        <v>24</v>
      </c>
      <c r="J6" s="3" t="s">
        <v>25</v>
      </c>
    </row>
    <row r="7">
      <c r="B7" s="3" t="s">
        <v>26</v>
      </c>
      <c r="C7" s="3" t="s">
        <v>9</v>
      </c>
      <c r="D7" s="3" t="s">
        <v>9</v>
      </c>
      <c r="E7" s="3" t="s">
        <v>11</v>
      </c>
      <c r="F7" s="5"/>
      <c r="I7" s="3" t="s">
        <v>11</v>
      </c>
      <c r="J7" s="3" t="s">
        <v>27</v>
      </c>
    </row>
    <row r="8">
      <c r="B8" s="3" t="s">
        <v>28</v>
      </c>
      <c r="C8" s="3" t="s">
        <v>9</v>
      </c>
      <c r="D8" s="3" t="s">
        <v>9</v>
      </c>
      <c r="E8" s="3" t="s">
        <v>11</v>
      </c>
      <c r="F8" s="5"/>
    </row>
    <row r="9">
      <c r="B9" s="3" t="s">
        <v>29</v>
      </c>
      <c r="C9" s="3" t="s">
        <v>9</v>
      </c>
      <c r="D9" s="3" t="s">
        <v>8</v>
      </c>
      <c r="E9" s="3" t="s">
        <v>11</v>
      </c>
      <c r="F9" s="5"/>
    </row>
    <row r="10">
      <c r="B10" s="3" t="s">
        <v>30</v>
      </c>
      <c r="C10" s="3" t="s">
        <v>9</v>
      </c>
      <c r="D10" s="3" t="s">
        <v>9</v>
      </c>
      <c r="E10" s="3" t="s">
        <v>11</v>
      </c>
      <c r="F10" s="5"/>
    </row>
    <row r="11">
      <c r="B11" s="3" t="s">
        <v>31</v>
      </c>
      <c r="C11" s="3" t="s">
        <v>8</v>
      </c>
      <c r="D11" s="3" t="s">
        <v>9</v>
      </c>
      <c r="E11" s="3" t="s">
        <v>11</v>
      </c>
      <c r="F11" s="5"/>
    </row>
    <row r="12">
      <c r="B12" s="3" t="s">
        <v>32</v>
      </c>
      <c r="C12" s="3" t="s">
        <v>9</v>
      </c>
      <c r="D12" s="3" t="s">
        <v>9</v>
      </c>
      <c r="E12" s="3" t="s">
        <v>11</v>
      </c>
      <c r="F12" s="5"/>
    </row>
    <row r="13">
      <c r="B13" s="3" t="s">
        <v>33</v>
      </c>
      <c r="C13" s="3" t="s">
        <v>9</v>
      </c>
      <c r="D13" s="3" t="s">
        <v>9</v>
      </c>
      <c r="E13" s="3" t="s">
        <v>11</v>
      </c>
      <c r="F13" s="5"/>
    </row>
    <row r="14">
      <c r="B14" s="3" t="s">
        <v>34</v>
      </c>
      <c r="C14" s="3" t="s">
        <v>9</v>
      </c>
      <c r="D14" s="3" t="s">
        <v>9</v>
      </c>
      <c r="E14" s="3" t="s">
        <v>11</v>
      </c>
      <c r="F14" s="3" t="s">
        <v>36</v>
      </c>
    </row>
    <row r="15">
      <c r="B15" s="3" t="s">
        <v>37</v>
      </c>
      <c r="C15" s="3" t="s">
        <v>8</v>
      </c>
      <c r="D15" s="3" t="s">
        <v>9</v>
      </c>
      <c r="E15" s="3" t="s">
        <v>15</v>
      </c>
      <c r="F15" s="3" t="s">
        <v>39</v>
      </c>
    </row>
    <row r="16">
      <c r="B16" s="3" t="s">
        <v>40</v>
      </c>
      <c r="C16" s="3" t="s">
        <v>8</v>
      </c>
      <c r="D16" s="3" t="s">
        <v>9</v>
      </c>
      <c r="E16" s="3" t="s">
        <v>15</v>
      </c>
      <c r="F16" s="5"/>
    </row>
    <row r="17">
      <c r="B17" s="3" t="s">
        <v>41</v>
      </c>
      <c r="C17" s="3" t="s">
        <v>8</v>
      </c>
      <c r="D17" s="3" t="s">
        <v>9</v>
      </c>
      <c r="E17" s="3" t="s">
        <v>15</v>
      </c>
      <c r="F17" s="5"/>
    </row>
    <row r="18">
      <c r="B18" s="3" t="s">
        <v>42</v>
      </c>
      <c r="C18" s="3" t="s">
        <v>8</v>
      </c>
      <c r="D18" s="3" t="s">
        <v>9</v>
      </c>
      <c r="E18" s="3" t="s">
        <v>15</v>
      </c>
      <c r="F18" s="5"/>
    </row>
    <row r="19">
      <c r="B19" s="3" t="s">
        <v>43</v>
      </c>
      <c r="C19" s="3" t="s">
        <v>8</v>
      </c>
      <c r="D19" s="3" t="s">
        <v>9</v>
      </c>
      <c r="E19" s="3" t="s">
        <v>15</v>
      </c>
      <c r="F19" s="3" t="s">
        <v>44</v>
      </c>
    </row>
    <row r="20">
      <c r="B20" s="3" t="s">
        <v>45</v>
      </c>
      <c r="C20" s="3" t="s">
        <v>8</v>
      </c>
      <c r="D20" s="3" t="s">
        <v>9</v>
      </c>
      <c r="E20" s="3" t="s">
        <v>15</v>
      </c>
      <c r="F20" s="5"/>
    </row>
    <row r="21">
      <c r="B21" s="3" t="s">
        <v>46</v>
      </c>
      <c r="C21" s="3" t="s">
        <v>8</v>
      </c>
      <c r="D21" s="3" t="s">
        <v>9</v>
      </c>
      <c r="E21" s="3" t="s">
        <v>15</v>
      </c>
      <c r="F21" s="5"/>
    </row>
    <row r="22">
      <c r="B22" s="3" t="s">
        <v>47</v>
      </c>
      <c r="C22" s="3" t="s">
        <v>8</v>
      </c>
      <c r="D22" s="3" t="s">
        <v>9</v>
      </c>
      <c r="E22" s="3" t="s">
        <v>21</v>
      </c>
      <c r="F22" s="5"/>
    </row>
    <row r="23">
      <c r="B23" s="3" t="s">
        <v>48</v>
      </c>
      <c r="C23" s="3" t="s">
        <v>9</v>
      </c>
      <c r="D23" s="3" t="s">
        <v>9</v>
      </c>
      <c r="E23" s="3" t="s">
        <v>24</v>
      </c>
      <c r="F23" s="5"/>
    </row>
    <row r="24">
      <c r="B24" s="3" t="s">
        <v>49</v>
      </c>
      <c r="C24" s="3" t="s">
        <v>8</v>
      </c>
      <c r="D24" s="3" t="s">
        <v>9</v>
      </c>
      <c r="E24" s="3" t="s">
        <v>24</v>
      </c>
      <c r="F24" s="3" t="s">
        <v>50</v>
      </c>
    </row>
    <row r="25">
      <c r="B25" s="3" t="s">
        <v>51</v>
      </c>
      <c r="C25" s="3" t="s">
        <v>9</v>
      </c>
      <c r="D25" s="3" t="s">
        <v>9</v>
      </c>
      <c r="E25" s="3" t="s">
        <v>11</v>
      </c>
      <c r="F25" s="3" t="s">
        <v>52</v>
      </c>
    </row>
    <row r="26">
      <c r="B26" s="3" t="s">
        <v>53</v>
      </c>
      <c r="C26" s="3" t="s">
        <v>8</v>
      </c>
      <c r="D26" s="3" t="s">
        <v>9</v>
      </c>
      <c r="E26" s="3" t="s">
        <v>11</v>
      </c>
      <c r="F26" s="5"/>
    </row>
    <row r="27">
      <c r="B27" s="3" t="s">
        <v>54</v>
      </c>
      <c r="C27" s="3" t="s">
        <v>9</v>
      </c>
      <c r="D27" s="3" t="s">
        <v>9</v>
      </c>
      <c r="E27" s="3" t="s">
        <v>18</v>
      </c>
      <c r="F27" s="3" t="s">
        <v>55</v>
      </c>
    </row>
    <row r="28">
      <c r="B28" s="3" t="s">
        <v>56</v>
      </c>
      <c r="C28" s="3" t="s">
        <v>8</v>
      </c>
      <c r="D28" s="3" t="s">
        <v>9</v>
      </c>
      <c r="E28" s="3" t="s">
        <v>18</v>
      </c>
      <c r="F28" s="3" t="s">
        <v>57</v>
      </c>
    </row>
    <row r="29">
      <c r="B29" s="3" t="s">
        <v>58</v>
      </c>
      <c r="C29" s="3" t="s">
        <v>8</v>
      </c>
      <c r="D29" s="3" t="s">
        <v>9</v>
      </c>
      <c r="E29" s="3" t="s">
        <v>18</v>
      </c>
      <c r="F29" s="3" t="s">
        <v>59</v>
      </c>
    </row>
    <row r="30">
      <c r="B30" s="3" t="s">
        <v>60</v>
      </c>
      <c r="C30" s="3" t="s">
        <v>9</v>
      </c>
      <c r="D30" s="3" t="s">
        <v>9</v>
      </c>
      <c r="E30" s="3" t="s">
        <v>15</v>
      </c>
      <c r="F30" s="3" t="s">
        <v>61</v>
      </c>
    </row>
    <row r="31">
      <c r="B31" s="3" t="s">
        <v>62</v>
      </c>
      <c r="C31" s="3" t="s">
        <v>9</v>
      </c>
      <c r="D31" s="3" t="s">
        <v>9</v>
      </c>
      <c r="E31" s="3" t="s">
        <v>15</v>
      </c>
      <c r="F31" s="3" t="s">
        <v>64</v>
      </c>
    </row>
    <row r="32">
      <c r="B32" s="3" t="s">
        <v>65</v>
      </c>
      <c r="C32" s="3" t="s">
        <v>9</v>
      </c>
      <c r="D32" s="3" t="s">
        <v>9</v>
      </c>
      <c r="E32" s="3" t="s">
        <v>11</v>
      </c>
      <c r="F32" s="3" t="s">
        <v>59</v>
      </c>
    </row>
    <row r="33">
      <c r="B33" s="3" t="s">
        <v>66</v>
      </c>
      <c r="C33" s="3" t="s">
        <v>9</v>
      </c>
      <c r="D33" s="3" t="s">
        <v>9</v>
      </c>
      <c r="E33" s="3" t="s">
        <v>11</v>
      </c>
      <c r="F33" s="3"/>
    </row>
    <row r="34">
      <c r="B34" s="3" t="s">
        <v>67</v>
      </c>
      <c r="C34" s="3" t="s">
        <v>8</v>
      </c>
      <c r="D34" s="3" t="s">
        <v>9</v>
      </c>
      <c r="E34" s="3" t="s">
        <v>12</v>
      </c>
      <c r="F34" s="3" t="s">
        <v>68</v>
      </c>
    </row>
    <row r="35">
      <c r="B35" s="3" t="s">
        <v>69</v>
      </c>
      <c r="C35" s="3" t="s">
        <v>9</v>
      </c>
      <c r="D35" s="3" t="s">
        <v>9</v>
      </c>
      <c r="E35" s="3" t="s">
        <v>12</v>
      </c>
      <c r="F35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2" max="2" width="11.75"/>
    <col customWidth="1" min="3" max="3" width="7.25"/>
    <col customWidth="1" min="4" max="4" width="11.75"/>
    <col customWidth="1" min="5" max="5" width="33.25"/>
    <col customWidth="1" min="6" max="6" width="5.88"/>
    <col customWidth="1" min="7" max="7" width="19.63"/>
    <col customWidth="1" min="8" max="9" width="18.63"/>
    <col customWidth="1" min="10" max="10" width="7.88"/>
    <col customWidth="1" min="11" max="11" width="19.88"/>
    <col customWidth="1" min="12" max="12" width="12.75"/>
    <col customWidth="1" min="13" max="13" width="23.38"/>
    <col customWidth="1" min="14" max="14" width="9.88"/>
    <col customWidth="1" min="15" max="15" width="7.88"/>
    <col customWidth="1" min="16" max="16" width="12.63"/>
    <col customWidth="1" min="17" max="17" width="7.88"/>
    <col customWidth="1" min="18" max="18" width="13.88"/>
    <col customWidth="1" min="19" max="19" width="12.25"/>
    <col customWidth="1" min="20" max="20" width="11.88"/>
    <col customWidth="1" min="21" max="21" width="10.63"/>
    <col customWidth="1" min="22" max="22" width="16.88"/>
    <col customWidth="1" min="23" max="23" width="15.75"/>
    <col customWidth="1" min="24" max="24" width="23.5"/>
    <col customWidth="1" min="25" max="25" width="28.25"/>
    <col customWidth="1" min="26" max="26" width="17.63"/>
    <col customWidth="1" min="27" max="27" width="24.88"/>
    <col customWidth="1" min="28" max="28" width="17.88"/>
    <col customWidth="1" min="29" max="29" width="30.88"/>
    <col customWidth="1" min="30" max="30" width="46.38"/>
    <col customWidth="1" min="31" max="31" width="18.88"/>
    <col customWidth="1" min="32" max="32" width="9.5"/>
    <col customWidth="1" min="33" max="33" width="27.88"/>
    <col customWidth="1" min="34" max="34" width="11.88"/>
  </cols>
  <sheetData>
    <row r="1">
      <c r="A1" s="2"/>
      <c r="B1" s="2"/>
      <c r="C1" s="2"/>
      <c r="D1" s="2"/>
      <c r="E1" s="4" t="s">
        <v>10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>
      <c r="A4" s="3" t="s">
        <v>35</v>
      </c>
      <c r="B4" s="6" t="s">
        <v>38</v>
      </c>
      <c r="C4" s="6" t="s">
        <v>11</v>
      </c>
      <c r="D4" s="6" t="s">
        <v>11</v>
      </c>
      <c r="E4" s="6" t="s">
        <v>11</v>
      </c>
      <c r="F4" s="7" t="s">
        <v>18</v>
      </c>
      <c r="G4" s="6" t="s">
        <v>11</v>
      </c>
      <c r="H4" s="6" t="s">
        <v>11</v>
      </c>
      <c r="I4" s="6" t="s">
        <v>11</v>
      </c>
      <c r="J4" s="6" t="s">
        <v>11</v>
      </c>
      <c r="K4" s="6" t="s">
        <v>11</v>
      </c>
      <c r="L4" s="6" t="s">
        <v>11</v>
      </c>
      <c r="M4" s="6" t="s">
        <v>11</v>
      </c>
      <c r="N4" s="8" t="s">
        <v>15</v>
      </c>
      <c r="O4" s="8" t="s">
        <v>15</v>
      </c>
      <c r="P4" s="8" t="s">
        <v>15</v>
      </c>
      <c r="Q4" s="8" t="s">
        <v>15</v>
      </c>
      <c r="R4" s="8" t="s">
        <v>15</v>
      </c>
      <c r="S4" s="8" t="s">
        <v>15</v>
      </c>
      <c r="T4" s="8" t="s">
        <v>15</v>
      </c>
      <c r="U4" s="9" t="s">
        <v>21</v>
      </c>
      <c r="V4" s="10" t="s">
        <v>24</v>
      </c>
      <c r="W4" s="10" t="s">
        <v>24</v>
      </c>
      <c r="X4" s="6" t="s">
        <v>11</v>
      </c>
      <c r="Y4" s="6" t="s">
        <v>11</v>
      </c>
      <c r="Z4" s="7" t="s">
        <v>18</v>
      </c>
      <c r="AA4" s="7" t="s">
        <v>18</v>
      </c>
      <c r="AB4" s="7" t="s">
        <v>18</v>
      </c>
      <c r="AC4" s="8" t="s">
        <v>15</v>
      </c>
      <c r="AD4" s="8" t="s">
        <v>15</v>
      </c>
      <c r="AE4" s="6" t="s">
        <v>11</v>
      </c>
      <c r="AF4" s="6" t="s">
        <v>11</v>
      </c>
      <c r="AG4" s="11" t="s">
        <v>12</v>
      </c>
      <c r="AH4" s="11" t="s">
        <v>12</v>
      </c>
    </row>
    <row r="5">
      <c r="A5" s="12" t="s">
        <v>63</v>
      </c>
      <c r="B5" s="12" t="s">
        <v>7</v>
      </c>
      <c r="C5" s="12" t="s">
        <v>14</v>
      </c>
      <c r="D5" s="12" t="s">
        <v>17</v>
      </c>
      <c r="E5" s="12" t="s">
        <v>20</v>
      </c>
      <c r="F5" s="12" t="s">
        <v>23</v>
      </c>
      <c r="G5" s="12" t="s">
        <v>28</v>
      </c>
      <c r="H5" s="12" t="s">
        <v>29</v>
      </c>
      <c r="I5" s="12" t="s">
        <v>30</v>
      </c>
      <c r="J5" s="12" t="s">
        <v>31</v>
      </c>
      <c r="K5" s="12" t="s">
        <v>32</v>
      </c>
      <c r="L5" s="12" t="s">
        <v>33</v>
      </c>
      <c r="M5" s="12" t="s">
        <v>34</v>
      </c>
      <c r="N5" s="12" t="s">
        <v>37</v>
      </c>
      <c r="O5" s="12" t="s">
        <v>40</v>
      </c>
      <c r="P5" s="12" t="s">
        <v>41</v>
      </c>
      <c r="Q5" s="12" t="s">
        <v>42</v>
      </c>
      <c r="R5" s="12" t="s">
        <v>43</v>
      </c>
      <c r="S5" s="12" t="s">
        <v>45</v>
      </c>
      <c r="T5" s="12" t="s">
        <v>46</v>
      </c>
      <c r="U5" s="12" t="s">
        <v>47</v>
      </c>
      <c r="V5" s="12" t="s">
        <v>48</v>
      </c>
      <c r="W5" s="12" t="s">
        <v>49</v>
      </c>
      <c r="X5" s="12" t="s">
        <v>70</v>
      </c>
      <c r="Y5" s="12" t="s">
        <v>71</v>
      </c>
      <c r="Z5" s="12" t="s">
        <v>54</v>
      </c>
      <c r="AA5" s="12" t="s">
        <v>56</v>
      </c>
      <c r="AB5" s="12" t="s">
        <v>58</v>
      </c>
      <c r="AC5" s="12" t="s">
        <v>60</v>
      </c>
      <c r="AD5" s="12" t="s">
        <v>62</v>
      </c>
      <c r="AE5" s="12" t="s">
        <v>65</v>
      </c>
      <c r="AF5" s="12" t="s">
        <v>66</v>
      </c>
      <c r="AG5" s="12" t="s">
        <v>67</v>
      </c>
      <c r="AH5" s="12" t="s">
        <v>69</v>
      </c>
    </row>
    <row r="6">
      <c r="A6" s="5" t="str">
        <f t="shared" ref="A6:A50" si="1">IFS($B6="",$B$4,$C6="",$C$4,$E6="",$E$4,$F6="",$F$4,$D6="",$D$4,$G6="",$G$4,$H6="",$H$4,$I6="",$I$4,$J6="",$J$4,$K6="",$K$4,$L6="",$L$4,$M6="",$M$4,$N6="",$N$4,$O6="",$O$4,$P6="",$P$4,$Q6="",$Q$4,$R6="",$R$4,$S6="",$S$4,$T6="",$T$4,$U6="",$U$4,$V6="",$V$4,$W6="",$W$4,$X6="",$X$4,$Y6="",$Y$4,$Z6="",$Z$4,$AA6="",$AA$4,$AB6="",$AB$4,$AC6="",$AC$4,$AD6="",$AD$4,$AE6="",$AE$4,$AF6="",$AF$4,$AG6="",$AG$4,$AH6="",$AH$4,$AH6&lt;&gt;"","Dokončeno")</f>
        <v>CS1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>
      <c r="A7" s="5" t="str">
        <f t="shared" si="1"/>
        <v>PROD</v>
      </c>
      <c r="B7" s="3" t="s">
        <v>72</v>
      </c>
      <c r="C7" s="3" t="s">
        <v>72</v>
      </c>
      <c r="D7" s="3" t="s">
        <v>72</v>
      </c>
      <c r="E7" s="3" t="s">
        <v>72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>
      <c r="A8" s="5" t="str">
        <f t="shared" si="1"/>
        <v>CS</v>
      </c>
      <c r="B8" s="3" t="s">
        <v>72</v>
      </c>
      <c r="C8" s="3" t="s">
        <v>72</v>
      </c>
      <c r="D8" s="3" t="s">
        <v>72</v>
      </c>
      <c r="E8" s="3" t="s">
        <v>72</v>
      </c>
      <c r="F8" s="3" t="s">
        <v>72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>
      <c r="A9" s="5" t="str">
        <f t="shared" si="1"/>
        <v>QA</v>
      </c>
      <c r="B9" s="3" t="s">
        <v>72</v>
      </c>
      <c r="C9" s="3" t="s">
        <v>72</v>
      </c>
      <c r="D9" s="3" t="s">
        <v>72</v>
      </c>
      <c r="E9" s="3" t="s">
        <v>72</v>
      </c>
      <c r="F9" s="3" t="s">
        <v>72</v>
      </c>
      <c r="G9" s="3" t="s">
        <v>72</v>
      </c>
      <c r="H9" s="3" t="s">
        <v>72</v>
      </c>
      <c r="I9" s="3" t="s">
        <v>72</v>
      </c>
      <c r="J9" s="3" t="s">
        <v>72</v>
      </c>
      <c r="K9" s="3" t="s">
        <v>72</v>
      </c>
      <c r="L9" s="3" t="s">
        <v>72</v>
      </c>
      <c r="M9" s="3" t="s">
        <v>72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>
      <c r="A10" s="5" t="str">
        <f t="shared" si="1"/>
        <v>ENG</v>
      </c>
      <c r="B10" s="3" t="s">
        <v>72</v>
      </c>
      <c r="C10" s="3" t="s">
        <v>72</v>
      </c>
      <c r="D10" s="3" t="s">
        <v>72</v>
      </c>
      <c r="E10" s="3" t="s">
        <v>72</v>
      </c>
      <c r="F10" s="3" t="s">
        <v>72</v>
      </c>
      <c r="G10" s="3" t="s">
        <v>72</v>
      </c>
      <c r="H10" s="3" t="s">
        <v>72</v>
      </c>
      <c r="I10" s="3" t="s">
        <v>72</v>
      </c>
      <c r="J10" s="3" t="s">
        <v>72</v>
      </c>
      <c r="K10" s="3" t="s">
        <v>72</v>
      </c>
      <c r="L10" s="3" t="s">
        <v>72</v>
      </c>
      <c r="M10" s="3" t="s">
        <v>72</v>
      </c>
      <c r="N10" s="3" t="s">
        <v>72</v>
      </c>
      <c r="O10" s="3" t="s">
        <v>72</v>
      </c>
      <c r="P10" s="3" t="s">
        <v>72</v>
      </c>
      <c r="Q10" s="3" t="s">
        <v>72</v>
      </c>
      <c r="R10" s="3" t="s">
        <v>72</v>
      </c>
      <c r="S10" s="3" t="s">
        <v>72</v>
      </c>
      <c r="T10" s="3" t="s">
        <v>72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>
      <c r="A11" s="5" t="str">
        <f t="shared" si="1"/>
        <v>Dokončeno</v>
      </c>
      <c r="B11" s="3" t="s">
        <v>72</v>
      </c>
      <c r="C11" s="3" t="s">
        <v>72</v>
      </c>
      <c r="D11" s="3" t="s">
        <v>72</v>
      </c>
      <c r="E11" s="3" t="s">
        <v>72</v>
      </c>
      <c r="F11" s="3" t="s">
        <v>72</v>
      </c>
      <c r="G11" s="3" t="s">
        <v>72</v>
      </c>
      <c r="H11" s="3" t="s">
        <v>72</v>
      </c>
      <c r="I11" s="3" t="s">
        <v>72</v>
      </c>
      <c r="J11" s="3" t="s">
        <v>72</v>
      </c>
      <c r="K11" s="3" t="s">
        <v>72</v>
      </c>
      <c r="L11" s="3" t="s">
        <v>72</v>
      </c>
      <c r="M11" s="3" t="s">
        <v>72</v>
      </c>
      <c r="N11" s="3" t="s">
        <v>72</v>
      </c>
      <c r="O11" s="3" t="s">
        <v>72</v>
      </c>
      <c r="P11" s="3" t="s">
        <v>72</v>
      </c>
      <c r="Q11" s="3" t="s">
        <v>72</v>
      </c>
      <c r="R11" s="3" t="s">
        <v>72</v>
      </c>
      <c r="S11" s="3" t="s">
        <v>72</v>
      </c>
      <c r="T11" s="3" t="s">
        <v>72</v>
      </c>
      <c r="U11" s="3" t="s">
        <v>72</v>
      </c>
      <c r="V11" s="3" t="s">
        <v>72</v>
      </c>
      <c r="W11" s="3" t="s">
        <v>72</v>
      </c>
      <c r="X11" s="3" t="s">
        <v>72</v>
      </c>
      <c r="Y11" s="3" t="s">
        <v>72</v>
      </c>
      <c r="Z11" s="3" t="s">
        <v>72</v>
      </c>
      <c r="AA11" s="3" t="s">
        <v>72</v>
      </c>
      <c r="AB11" s="3" t="s">
        <v>72</v>
      </c>
      <c r="AC11" s="3" t="s">
        <v>72</v>
      </c>
      <c r="AD11" s="3" t="s">
        <v>72</v>
      </c>
      <c r="AE11" s="3" t="s">
        <v>72</v>
      </c>
      <c r="AF11" s="3" t="s">
        <v>72</v>
      </c>
      <c r="AG11" s="3" t="s">
        <v>72</v>
      </c>
      <c r="AH11" s="3" t="s">
        <v>72</v>
      </c>
    </row>
    <row r="12">
      <c r="A12" s="5" t="str">
        <f t="shared" si="1"/>
        <v>CS1</v>
      </c>
      <c r="B12" s="5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>
      <c r="A13" s="5" t="str">
        <f t="shared" si="1"/>
        <v>CS1</v>
      </c>
      <c r="B13" s="5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>
      <c r="A14" s="5" t="str">
        <f t="shared" si="1"/>
        <v>CS1</v>
      </c>
      <c r="B14" s="5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>
      <c r="A15" s="5" t="str">
        <f t="shared" si="1"/>
        <v>CS1</v>
      </c>
      <c r="B15" s="5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>
      <c r="A16" s="5" t="str">
        <f t="shared" si="1"/>
        <v>CS1</v>
      </c>
      <c r="B16" s="5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>
      <c r="A17" s="5" t="str">
        <f t="shared" si="1"/>
        <v>CS1</v>
      </c>
      <c r="B17" s="5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>
      <c r="A18" s="5" t="str">
        <f t="shared" si="1"/>
        <v>CS1</v>
      </c>
      <c r="B18" s="5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>
      <c r="A19" s="5" t="str">
        <f t="shared" si="1"/>
        <v>CS1</v>
      </c>
      <c r="B19" s="5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>
      <c r="A20" s="5" t="str">
        <f t="shared" si="1"/>
        <v>CS1</v>
      </c>
      <c r="B20" s="5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>
      <c r="A21" s="5" t="str">
        <f t="shared" si="1"/>
        <v>CS1</v>
      </c>
      <c r="B21" s="5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>
      <c r="A22" s="5" t="str">
        <f t="shared" si="1"/>
        <v>CS1</v>
      </c>
      <c r="B22" s="5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>
      <c r="A23" s="5" t="str">
        <f t="shared" si="1"/>
        <v>CS1</v>
      </c>
      <c r="B23" s="5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>
      <c r="A24" s="5" t="str">
        <f t="shared" si="1"/>
        <v>CS1</v>
      </c>
      <c r="B24" s="5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>
      <c r="A25" s="5" t="str">
        <f t="shared" si="1"/>
        <v>CS1</v>
      </c>
      <c r="B25" s="5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>
      <c r="A26" s="5" t="str">
        <f t="shared" si="1"/>
        <v>CS1</v>
      </c>
      <c r="B26" s="5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>
      <c r="A27" s="5" t="str">
        <f t="shared" si="1"/>
        <v>CS1</v>
      </c>
      <c r="B27" s="5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>
      <c r="A28" s="5" t="str">
        <f t="shared" si="1"/>
        <v>CS1</v>
      </c>
      <c r="B28" s="5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>
      <c r="A29" s="5" t="str">
        <f t="shared" si="1"/>
        <v>CS1</v>
      </c>
      <c r="B29" s="5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>
      <c r="A30" s="5" t="str">
        <f t="shared" si="1"/>
        <v>CS1</v>
      </c>
      <c r="B30" s="5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>
      <c r="A31" s="5" t="str">
        <f t="shared" si="1"/>
        <v>CS1</v>
      </c>
      <c r="B31" s="5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>
      <c r="A32" s="5" t="str">
        <f t="shared" si="1"/>
        <v>CS1</v>
      </c>
      <c r="B32" s="5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>
      <c r="A33" s="5" t="str">
        <f t="shared" si="1"/>
        <v>CS1</v>
      </c>
      <c r="B33" s="5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>
      <c r="A34" s="5" t="str">
        <f t="shared" si="1"/>
        <v>CS1</v>
      </c>
      <c r="B34" s="5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>
      <c r="A35" s="5" t="str">
        <f t="shared" si="1"/>
        <v>CS1</v>
      </c>
      <c r="B35" s="5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>
      <c r="A36" s="5" t="str">
        <f t="shared" si="1"/>
        <v>CS1</v>
      </c>
      <c r="B36" s="5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>
      <c r="A37" s="5" t="str">
        <f t="shared" si="1"/>
        <v>CS1</v>
      </c>
      <c r="B37" s="5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>
      <c r="A38" s="5" t="str">
        <f t="shared" si="1"/>
        <v>CS1</v>
      </c>
      <c r="B38" s="5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>
      <c r="A39" s="5" t="str">
        <f t="shared" si="1"/>
        <v>CS1</v>
      </c>
      <c r="B39" s="5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>
      <c r="A40" s="5" t="str">
        <f t="shared" si="1"/>
        <v>CS1</v>
      </c>
      <c r="B40" s="5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>
      <c r="A41" s="5" t="str">
        <f t="shared" si="1"/>
        <v>CS1</v>
      </c>
      <c r="B41" s="5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>
      <c r="A42" s="5" t="str">
        <f t="shared" si="1"/>
        <v>CS1</v>
      </c>
      <c r="B42" s="5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>
      <c r="A43" s="5" t="str">
        <f t="shared" si="1"/>
        <v>CS1</v>
      </c>
      <c r="B43" s="5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>
      <c r="A44" s="5" t="str">
        <f t="shared" si="1"/>
        <v>CS1</v>
      </c>
      <c r="B44" s="5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>
      <c r="A45" s="5" t="str">
        <f t="shared" si="1"/>
        <v>CS1</v>
      </c>
      <c r="B45" s="5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>
      <c r="A46" s="5" t="str">
        <f t="shared" si="1"/>
        <v>CS1</v>
      </c>
      <c r="B46" s="5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>
      <c r="A47" s="5" t="str">
        <f t="shared" si="1"/>
        <v>CS1</v>
      </c>
      <c r="B47" s="5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>
      <c r="A48" s="5" t="str">
        <f t="shared" si="1"/>
        <v>CS1</v>
      </c>
      <c r="B48" s="5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>
      <c r="A49" s="5" t="str">
        <f t="shared" si="1"/>
        <v>CS1</v>
      </c>
      <c r="B49" s="5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>
      <c r="A50" s="5" t="str">
        <f t="shared" si="1"/>
        <v>CS1</v>
      </c>
      <c r="B50" s="5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</sheetData>
  <autoFilter ref="$A$5:$AH$50"/>
  <conditionalFormatting sqref="A6:A50">
    <cfRule type="containsText" dxfId="0" priority="1" operator="containsText" text="Dokončeno">
      <formula>NOT(ISERROR(SEARCH(("Dokončeno"),(A6))))</formula>
    </cfRule>
  </conditionalFormatting>
  <conditionalFormatting sqref="A6:A50">
    <cfRule type="cellIs" dxfId="1" priority="2" operator="equal">
      <formula>"CS1"</formula>
    </cfRule>
  </conditionalFormatting>
  <conditionalFormatting sqref="B6:AH50">
    <cfRule type="notContainsBlanks" dxfId="2" priority="3">
      <formula>LEN(TRIM(B6))&gt;0</formula>
    </cfRule>
  </conditionalFormatting>
  <conditionalFormatting sqref="C6:AH50">
    <cfRule type="expression" dxfId="3" priority="4">
      <formula>AND(B6&lt;&gt;"",C6="")</formula>
    </cfRule>
  </conditionalFormatting>
  <conditionalFormatting sqref="A6:A50">
    <cfRule type="notContainsText" dxfId="4" priority="5" operator="notContains" text="CS1">
      <formula>ISERROR(SEARCH(("CS1"),(A6)))</formula>
    </cfRule>
  </conditionalFormatting>
  <drawing r:id="rId1"/>
</worksheet>
</file>